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jensen/Downloads/"/>
    </mc:Choice>
  </mc:AlternateContent>
  <xr:revisionPtr revIDLastSave="0" documentId="8_{46C46F61-DFF7-444F-8318-F901973A08BD}" xr6:coauthVersionLast="47" xr6:coauthVersionMax="47" xr10:uidLastSave="{00000000-0000-0000-0000-000000000000}"/>
  <bookViews>
    <workbookView xWindow="6820" yWindow="3120" windowWidth="27640" windowHeight="16680" xr2:uid="{97BECC2A-1BC0-4C4B-9F9A-CAAD1C6B7002}"/>
  </bookViews>
  <sheets>
    <sheet name="8.01.26 Core Model Upd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E19" i="1" a="1"/>
  <c r="E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E18" i="1" a="1"/>
  <c r="E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E17" i="1" a="1"/>
  <c r="E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E16" i="1" a="1"/>
  <c r="E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E15" i="1" a="1"/>
  <c r="E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E14" i="1" a="1"/>
  <c r="E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E13" i="1" a="1"/>
  <c r="E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E12" i="1" a="1"/>
  <c r="E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E11" i="1" a="1"/>
  <c r="E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E10" i="1" a="1"/>
  <c r="E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E9" i="1" a="1"/>
  <c r="E9" i="1" s="1"/>
  <c r="Y8" i="1"/>
  <c r="X8" i="1"/>
  <c r="W8" i="1"/>
  <c r="V8" i="1"/>
  <c r="U8" i="1"/>
  <c r="T8" i="1"/>
  <c r="S8" i="1"/>
  <c r="R8" i="1"/>
  <c r="Q8" i="1"/>
  <c r="P8" i="1"/>
  <c r="O8" i="1"/>
  <c r="O20" i="1" s="1"/>
  <c r="N8" i="1"/>
  <c r="N20" i="1" s="1"/>
  <c r="M8" i="1"/>
  <c r="L8" i="1"/>
  <c r="K8" i="1"/>
  <c r="J8" i="1"/>
  <c r="I8" i="1"/>
  <c r="H8" i="1"/>
  <c r="G8" i="1"/>
  <c r="E8" i="1" a="1"/>
  <c r="E8" i="1" s="1"/>
  <c r="M7" i="1"/>
  <c r="L7" i="1"/>
  <c r="E7" i="1" a="1"/>
  <c r="E7" i="1" s="1"/>
  <c r="Z6" i="1"/>
  <c r="Y6" i="1"/>
  <c r="X6" i="1"/>
  <c r="W6" i="1"/>
  <c r="V6" i="1"/>
  <c r="U6" i="1"/>
  <c r="T6" i="1"/>
  <c r="S6" i="1"/>
  <c r="R6" i="1"/>
  <c r="Q6" i="1"/>
  <c r="P6" i="1"/>
  <c r="P20" i="1" s="1"/>
  <c r="O6" i="1"/>
  <c r="M6" i="1"/>
  <c r="L6" i="1"/>
  <c r="K6" i="1"/>
  <c r="J6" i="1"/>
  <c r="I6" i="1"/>
  <c r="H6" i="1"/>
  <c r="G6" i="1"/>
  <c r="Z5" i="1"/>
  <c r="Y5" i="1"/>
  <c r="X5" i="1"/>
  <c r="W5" i="1"/>
  <c r="V5" i="1"/>
  <c r="U5" i="1"/>
  <c r="T5" i="1"/>
  <c r="S5" i="1"/>
  <c r="R5" i="1"/>
  <c r="Q5" i="1"/>
  <c r="Q20" i="1" s="1"/>
  <c r="P5" i="1"/>
  <c r="O5" i="1"/>
  <c r="M5" i="1"/>
  <c r="L5" i="1"/>
  <c r="K5" i="1"/>
  <c r="J5" i="1"/>
  <c r="I5" i="1"/>
  <c r="H5" i="1"/>
  <c r="G5" i="1"/>
  <c r="Z4" i="1"/>
  <c r="Y4" i="1"/>
  <c r="X4" i="1"/>
  <c r="W4" i="1"/>
  <c r="V4" i="1"/>
  <c r="U4" i="1"/>
  <c r="T4" i="1"/>
  <c r="T20" i="1" s="1"/>
  <c r="S4" i="1"/>
  <c r="S20" i="1" s="1"/>
  <c r="R4" i="1"/>
  <c r="R20" i="1" s="1"/>
  <c r="Q4" i="1"/>
  <c r="P4" i="1"/>
  <c r="O4" i="1"/>
  <c r="M4" i="1"/>
  <c r="L4" i="1"/>
  <c r="K4" i="1"/>
  <c r="J4" i="1"/>
  <c r="I4" i="1"/>
  <c r="I20" i="1" s="1"/>
  <c r="H4" i="1"/>
  <c r="G4" i="1"/>
  <c r="E4" i="1" a="1"/>
  <c r="E4" i="1" s="1"/>
  <c r="Z3" i="1"/>
  <c r="Z20" i="1" s="1"/>
  <c r="Y3" i="1"/>
  <c r="Y20" i="1" s="1"/>
  <c r="X3" i="1"/>
  <c r="X20" i="1" s="1"/>
  <c r="W3" i="1"/>
  <c r="W20" i="1" s="1"/>
  <c r="V3" i="1"/>
  <c r="V20" i="1" s="1"/>
  <c r="U3" i="1"/>
  <c r="U20" i="1" s="1"/>
  <c r="T3" i="1"/>
  <c r="S3" i="1"/>
  <c r="R3" i="1"/>
  <c r="Q3" i="1"/>
  <c r="P3" i="1"/>
  <c r="O3" i="1"/>
  <c r="M3" i="1"/>
  <c r="M20" i="1" s="1"/>
  <c r="L3" i="1"/>
  <c r="L20" i="1" s="1"/>
  <c r="K3" i="1"/>
  <c r="K20" i="1" s="1"/>
  <c r="J3" i="1"/>
  <c r="J20" i="1" s="1"/>
  <c r="I3" i="1"/>
  <c r="H3" i="1"/>
  <c r="H20" i="1" s="1"/>
  <c r="G3" i="1"/>
  <c r="G20" i="1" s="1"/>
  <c r="E3" i="1" a="1"/>
  <c r="E3" i="1" s="1"/>
  <c r="E2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7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6"/>
        </ext>
      </extLst>
    </bk>
  </futureMetadata>
  <cellMetadata count="1">
    <bk>
      <rc t="1" v="0"/>
    </bk>
  </cellMetadata>
  <valueMetadata count="1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</valueMetadata>
</metadata>
</file>

<file path=xl/sharedStrings.xml><?xml version="1.0" encoding="utf-8"?>
<sst xmlns="http://schemas.openxmlformats.org/spreadsheetml/2006/main" count="61" uniqueCount="59">
  <si>
    <t>Falcon Core Model:</t>
  </si>
  <si>
    <t>Asset Class</t>
  </si>
  <si>
    <t>Description</t>
  </si>
  <si>
    <t>Symbol</t>
  </si>
  <si>
    <t>Expense Ratio</t>
  </si>
  <si>
    <t>100/0</t>
  </si>
  <si>
    <t>95/5</t>
  </si>
  <si>
    <t>90/10</t>
  </si>
  <si>
    <t>85/15</t>
  </si>
  <si>
    <t>80/20</t>
  </si>
  <si>
    <t>75/25</t>
  </si>
  <si>
    <t>70/30</t>
  </si>
  <si>
    <t>65/35</t>
  </si>
  <si>
    <t>60/40</t>
  </si>
  <si>
    <t>55/45</t>
  </si>
  <si>
    <t>50/50</t>
  </si>
  <si>
    <t>45/55</t>
  </si>
  <si>
    <t>40/60</t>
  </si>
  <si>
    <t>35/65</t>
  </si>
  <si>
    <t>30/70</t>
  </si>
  <si>
    <t>25/75</t>
  </si>
  <si>
    <t>20/80</t>
  </si>
  <si>
    <t>15/85</t>
  </si>
  <si>
    <t>10/90</t>
  </si>
  <si>
    <t>5/95</t>
  </si>
  <si>
    <t>0/100</t>
  </si>
  <si>
    <t>Short Government</t>
  </si>
  <si>
    <t>VGSH</t>
  </si>
  <si>
    <t>Intermediate Core-Plus Bond</t>
  </si>
  <si>
    <t>FBND</t>
  </si>
  <si>
    <t>Multisector Bond</t>
  </si>
  <si>
    <t>PYLD</t>
  </si>
  <si>
    <t>BINC</t>
  </si>
  <si>
    <t>Preferred Stock</t>
  </si>
  <si>
    <t>FPE</t>
  </si>
  <si>
    <t>Diversified Emerging Mkts</t>
  </si>
  <si>
    <t>AVEM</t>
  </si>
  <si>
    <t>Foreign Small/Mid Value</t>
  </si>
  <si>
    <t>AVDV</t>
  </si>
  <si>
    <t>Foreign Large Value</t>
  </si>
  <si>
    <t>DFIV</t>
  </si>
  <si>
    <t>Foreign Large Growth</t>
  </si>
  <si>
    <t>IHDG</t>
  </si>
  <si>
    <t>Real Estate</t>
  </si>
  <si>
    <t>VNQ</t>
  </si>
  <si>
    <t>Large Cap Growth</t>
  </si>
  <si>
    <t>QNDX</t>
  </si>
  <si>
    <t>MGK</t>
  </si>
  <si>
    <t>Large Cap Value</t>
  </si>
  <si>
    <t>AVLV</t>
  </si>
  <si>
    <t>Mid Cap Growth</t>
  </si>
  <si>
    <t>IWP</t>
  </si>
  <si>
    <t>Mid Cap Value</t>
  </si>
  <si>
    <t>AVMV</t>
  </si>
  <si>
    <t>Small Cap Growth</t>
  </si>
  <si>
    <t>IJT</t>
  </si>
  <si>
    <t>Small Cap Value</t>
  </si>
  <si>
    <t>AVUV</t>
  </si>
  <si>
    <t>Avergae Exp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</si>
</sst>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7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1">
    <xf numFmtId="0" fontId="0" fillId="0" borderId="0" xfId="0"/>
    <xf numFmtId="0" fontId="4" fillId="2" borderId="0" xfId="0" applyFont="1" applyFill="1"/>
    <xf numFmtId="0" fontId="5" fillId="0" borderId="0" xfId="0" applyFont="1"/>
    <xf numFmtId="44" fontId="0" fillId="0" borderId="0" xfId="1" applyFont="1"/>
    <xf numFmtId="0" fontId="0" fillId="0" borderId="0" xfId="0" applyAlignment="1">
      <alignment horizontal="center"/>
    </xf>
    <xf numFmtId="0" fontId="0" fillId="3" borderId="0" xfId="0" applyFill="1"/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4" fontId="2" fillId="4" borderId="2" xfId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44" fontId="5" fillId="0" borderId="0" xfId="1" applyFont="1" applyAlignment="1">
      <alignment horizontal="center"/>
    </xf>
    <xf numFmtId="10" fontId="5" fillId="0" borderId="0" xfId="0" applyNumberFormat="1" applyFont="1" applyAlignment="1">
      <alignment horizontal="center"/>
    </xf>
    <xf numFmtId="165" fontId="0" fillId="0" borderId="0" xfId="0" applyNumberFormat="1"/>
    <xf numFmtId="165" fontId="0" fillId="3" borderId="0" xfId="0" applyNumberFormat="1" applyFill="1"/>
    <xf numFmtId="165" fontId="0" fillId="0" borderId="5" xfId="0" applyNumberFormat="1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5" fillId="0" borderId="7" xfId="0" applyFont="1" applyBorder="1" applyAlignment="1">
      <alignment horizontal="center"/>
    </xf>
    <xf numFmtId="44" fontId="5" fillId="0" borderId="7" xfId="1" applyFont="1" applyBorder="1" applyAlignment="1">
      <alignment horizontal="center"/>
    </xf>
    <xf numFmtId="165" fontId="0" fillId="0" borderId="7" xfId="0" applyNumberFormat="1" applyBorder="1"/>
    <xf numFmtId="2" fontId="0" fillId="0" borderId="7" xfId="0" applyNumberFormat="1" applyBorder="1"/>
    <xf numFmtId="165" fontId="0" fillId="3" borderId="7" xfId="0" applyNumberFormat="1" applyFill="1" applyBorder="1"/>
    <xf numFmtId="165" fontId="0" fillId="0" borderId="8" xfId="0" applyNumberFormat="1" applyBorder="1"/>
    <xf numFmtId="10" fontId="5" fillId="0" borderId="9" xfId="0" applyNumberFormat="1" applyFont="1" applyBorder="1" applyAlignment="1">
      <alignment horizontal="center"/>
    </xf>
    <xf numFmtId="2" fontId="0" fillId="0" borderId="0" xfId="0" applyNumberFormat="1"/>
    <xf numFmtId="0" fontId="7" fillId="0" borderId="10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5" fillId="0" borderId="9" xfId="0" applyFont="1" applyBorder="1" applyAlignment="1">
      <alignment horizontal="center"/>
    </xf>
    <xf numFmtId="44" fontId="5" fillId="0" borderId="9" xfId="1" applyFont="1" applyBorder="1" applyAlignment="1">
      <alignment horizontal="center"/>
    </xf>
    <xf numFmtId="165" fontId="0" fillId="0" borderId="9" xfId="0" applyNumberFormat="1" applyBorder="1"/>
    <xf numFmtId="2" fontId="0" fillId="0" borderId="9" xfId="0" applyNumberFormat="1" applyBorder="1"/>
    <xf numFmtId="165" fontId="0" fillId="3" borderId="9" xfId="0" applyNumberFormat="1" applyFill="1" applyBorder="1"/>
    <xf numFmtId="165" fontId="0" fillId="0" borderId="11" xfId="0" applyNumberFormat="1" applyBorder="1"/>
    <xf numFmtId="0" fontId="0" fillId="0" borderId="9" xfId="0" applyBorder="1"/>
    <xf numFmtId="0" fontId="7" fillId="0" borderId="4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44" fontId="5" fillId="0" borderId="0" xfId="1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5" fillId="0" borderId="13" xfId="0" applyFont="1" applyBorder="1"/>
    <xf numFmtId="44" fontId="5" fillId="0" borderId="13" xfId="1" applyFont="1" applyBorder="1"/>
    <xf numFmtId="10" fontId="5" fillId="5" borderId="14" xfId="0" applyNumberFormat="1" applyFont="1" applyFill="1" applyBorder="1" applyAlignment="1">
      <alignment horizontal="center" vertical="center"/>
    </xf>
    <xf numFmtId="165" fontId="0" fillId="0" borderId="14" xfId="0" applyNumberFormat="1" applyBorder="1"/>
    <xf numFmtId="165" fontId="0" fillId="3" borderId="14" xfId="0" applyNumberFormat="1" applyFill="1" applyBorder="1"/>
    <xf numFmtId="165" fontId="0" fillId="0" borderId="15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7">
  <rv s="0">
    <v>https://www.bing.com/financeapi/forcetrigger?t=a25bc7&amp;q=XNAS%3aVGSH&amp;form=skydnc</v>
    <v>Learn more on Bing</v>
  </rv>
  <rv s="1">
    <v>0</v>
    <v>Vanguard ST Trs;ETF (XNAS:VGSH)</v>
    <v>2</v>
    <v>3</v>
    <v>Finance</v>
    <v>4</v>
    <v>en-US</v>
    <v>a25bc7</v>
    <v>268435456</v>
    <v>1</v>
    <v>Powered by Refinitiv</v>
    <v>59.01</v>
    <v>57.64</v>
    <v>1.0289999999999999</v>
    <v>-0.02</v>
    <v>-3.4680000000000003E-4</v>
    <v>USD</v>
    <v>Nasdaq Stock Market</v>
    <v>XNAS</v>
    <v>2.9999999999999997E-4</v>
    <v>57.68</v>
    <v>ETF</v>
    <v>46280.763052291404</v>
    <v>0</v>
    <v>57.65</v>
    <v>34773036818</v>
    <v>Vanguard ST Trs;ETF</v>
    <v>57.66</v>
    <v>57.67</v>
    <v>57.65</v>
    <v>VGSH</v>
    <v>Vanguard ST Trs;ETF (XNAS:VGSH)</v>
    <v>3510386</v>
    <v>6321143</v>
  </rv>
  <rv s="2">
    <v>1</v>
  </rv>
  <rv s="0">
    <v>https://www.bing.com/financeapi/forcetrigger?t=a1smfr&amp;q=ARCX%3aFBND&amp;form=skydnc</v>
    <v>Learn more on Bing</v>
  </rv>
  <rv s="1">
    <v>0</v>
    <v>Fidelity Total Bd (ARCX:FBND)</v>
    <v>2</v>
    <v>3</v>
    <v>Finance</v>
    <v>4</v>
    <v>en-US</v>
    <v>a1smfr</v>
    <v>268435456</v>
    <v>1</v>
    <v>Powered by Refinitiv</v>
    <v>46.86</v>
    <v>44.113</v>
    <v>1.0253000000000001</v>
    <v>-3.5000000000000003E-2</v>
    <v>-7.917E-4</v>
    <v>USD</v>
    <v>NYSE Arca</v>
    <v>ARCX</v>
    <v>3.5999999999999999E-3</v>
    <v>44.21</v>
    <v>ETF</v>
    <v>46280.763051562499</v>
    <v>3</v>
    <v>44.14</v>
    <v>28155536081.330002</v>
    <v>Fidelity Total Bd</v>
    <v>44.18</v>
    <v>44.21</v>
    <v>44.174999999999997</v>
    <v>FBND</v>
    <v>Fidelity Total Bd (ARCX:FBND)</v>
    <v>2979944</v>
    <v>3621053</v>
  </rv>
  <rv s="2">
    <v>4</v>
  </rv>
  <rv s="3">
    <v>5</v>
    <v>PIMCO ETF:Mltsctr Bd Act (ARCX:PYLD)</v>
    <v>6</v>
    <v>3</v>
    <v>Finance</v>
    <v>4</v>
    <v>en-US</v>
    <v>ca4c3m</v>
    <v>268435456</v>
    <v>1</v>
    <v>Powered by Refinitiv</v>
    <v>27.04</v>
    <v>25.69</v>
    <v>0.77890000000000004</v>
    <v>-0.03</v>
    <v>-1.1659999999999999E-3</v>
    <v>USD</v>
    <v>NYSE Arca</v>
    <v>ARCX</v>
    <v>6.4000000000000003E-3</v>
    <v>25.74</v>
    <v>ETF</v>
    <v>46280.763021967185</v>
    <v>25.7</v>
    <v>15691676413.82</v>
    <v>PIMCO ETF:Mltsctr Bd Act</v>
    <v>25.715</v>
    <v>25.74</v>
    <v>25.71</v>
    <v>PYLD</v>
    <v>PIMCO ETF:Mltsctr Bd Act (ARCX:PYLD)</v>
    <v>4032198</v>
    <v>3586526</v>
  </rv>
  <rv s="2">
    <v>6</v>
  </rv>
  <rv s="3">
    <v>5</v>
    <v>BlackRock:iShs Flx In Ac (ARCX:BINC)</v>
    <v>6</v>
    <v>3</v>
    <v>Finance</v>
    <v>4</v>
    <v>en-US</v>
    <v>c9tx1h</v>
    <v>268435456</v>
    <v>1</v>
    <v>Powered by Refinitiv</v>
    <v>53.51</v>
    <v>51.134999999999998</v>
    <v>1.0347999999999999</v>
    <v>-5.5E-2</v>
    <v>-1.0739999999999999E-3</v>
    <v>USD</v>
    <v>NYSE Arca</v>
    <v>ARCX</v>
    <v>4.0000000000000001E-3</v>
    <v>51.19</v>
    <v>ETF</v>
    <v>46280.76291759219</v>
    <v>51.145000000000003</v>
    <v>16661741396.870001</v>
    <v>BlackRock:iShs Flx In Ac</v>
    <v>51.18</v>
    <v>51.21</v>
    <v>51.155000000000001</v>
    <v>BINC</v>
    <v>BlackRock:iShs Flx In Ac (ARCX:BINC)</v>
    <v>1270666</v>
    <v>2111156</v>
  </rv>
  <rv s="2">
    <v>8</v>
  </rv>
  <rv s="0">
    <v>https://www.bing.com/financeapi/forcetrigger?t=a1t9mw&amp;q=ARCX%3aFPE&amp;form=skydnc</v>
    <v>Learn more on Bing</v>
  </rv>
  <rv s="1">
    <v>0</v>
    <v>FT III:Pfd Sec &amp; Inc (ARCX:FPE)</v>
    <v>2</v>
    <v>3</v>
    <v>Finance</v>
    <v>4</v>
    <v>en-US</v>
    <v>a1t9mw</v>
    <v>268435456</v>
    <v>1</v>
    <v>Powered by Refinitiv</v>
    <v>18.510000000000002</v>
    <v>17.399999999999999</v>
    <v>1.1264000000000001</v>
    <v>-1.4999999999999999E-2</v>
    <v>-8.6110000000000006E-4</v>
    <v>USD</v>
    <v>NYSE Arca</v>
    <v>ARCX</v>
    <v>8.3000000000000001E-3</v>
    <v>17.434999999999999</v>
    <v>ETF</v>
    <v>46280.763042928127</v>
    <v>10</v>
    <v>17.399999999999999</v>
    <v>6291900437.1000004</v>
    <v>FT III:Pfd Sec &amp; Inc</v>
    <v>17.41</v>
    <v>17.420000000000002</v>
    <v>17.405000000000001</v>
    <v>FPE</v>
    <v>FT III:Pfd Sec &amp; Inc (ARCX:FPE)</v>
    <v>1247324</v>
    <v>964735</v>
  </rv>
  <rv s="2">
    <v>11</v>
  </rv>
  <rv s="0">
    <v>https://www.bing.com/financeapi/forcetrigger?t=brjvrw&amp;q=ARCX%3aAVEM&amp;form=skydnc</v>
    <v>Learn more on Bing</v>
  </rv>
  <rv s="1">
    <v>0</v>
    <v>Avantis Emg Mkts Eq (ARCX:AVEM)</v>
    <v>2</v>
    <v>3</v>
    <v>Finance</v>
    <v>4</v>
    <v>en-US</v>
    <v>brjvrw</v>
    <v>268435456</v>
    <v>1</v>
    <v>Powered by Refinitiv</v>
    <v>100.83</v>
    <v>72.940399999999997</v>
    <v>0.87219999999999998</v>
    <v>-0.53500000000000003</v>
    <v>-5.744E-3</v>
    <v>USD</v>
    <v>NYSE Arca</v>
    <v>ARCX</v>
    <v>3.3E-3</v>
    <v>93.1</v>
    <v>ETF</v>
    <v>46280.762964803122</v>
    <v>13</v>
    <v>92.305000000000007</v>
    <v>28053696152.32</v>
    <v>Avantis Emg Mkts Eq</v>
    <v>93.04</v>
    <v>93.14</v>
    <v>92.605000000000004</v>
    <v>AVEM</v>
    <v>Avantis Emg Mkts Eq (ARCX:AVEM)</v>
    <v>834948</v>
    <v>1541184</v>
  </rv>
  <rv s="2">
    <v>14</v>
  </rv>
  <rv s="0">
    <v>https://www.bing.com/financeapi/forcetrigger?t=brmo3m&amp;q=ARCX%3aAVDV&amp;form=skydnc</v>
    <v>Learn more on Bing</v>
  </rv>
  <rv s="1">
    <v>0</v>
    <v>Avantis Intl SC Val (ARCX:AVDV)</v>
    <v>2</v>
    <v>3</v>
    <v>Finance</v>
    <v>4</v>
    <v>en-US</v>
    <v>brmo3m</v>
    <v>268435456</v>
    <v>1</v>
    <v>Powered by Refinitiv</v>
    <v>114</v>
    <v>87.146299999999997</v>
    <v>0.91190000000000004</v>
    <v>-0.19989999999999999</v>
    <v>-1.8079999999999999E-3</v>
    <v>USD</v>
    <v>NYSE Arca</v>
    <v>ARCX</v>
    <v>3.5999999999999999E-3</v>
    <v>110.5598</v>
    <v>ETF</v>
    <v>46280.762638182816</v>
    <v>16</v>
    <v>109.67</v>
    <v>20499965629.689999</v>
    <v>Avantis Intl SC Val</v>
    <v>110.08</v>
    <v>110.56</v>
    <v>110.3601</v>
    <v>AVDV</v>
    <v>Avantis Intl SC Val (ARCX:AVDV)</v>
    <v>362291</v>
    <v>693061</v>
  </rv>
  <rv s="2">
    <v>17</v>
  </rv>
  <rv s="0">
    <v>https://www.bing.com/financeapi/forcetrigger?t=c3e9qh&amp;q=ARCX%3aDFIV&amp;form=skydnc</v>
    <v>Learn more on Bing</v>
  </rv>
  <rv s="1">
    <v>0</v>
    <v>DFA International Value (ARCX:DFIV)</v>
    <v>2</v>
    <v>3</v>
    <v>Finance</v>
    <v>4</v>
    <v>en-US</v>
    <v>c3e9qh</v>
    <v>268435456</v>
    <v>1</v>
    <v>Powered by Refinitiv</v>
    <v>59.209899999999998</v>
    <v>45.064999999999998</v>
    <v>0.91910000000000003</v>
    <v>-0.16500000000000001</v>
    <v>-2.8299999999999996E-3</v>
    <v>USD</v>
    <v>NYSE Arca</v>
    <v>ARCX</v>
    <v>2.7000000000000001E-3</v>
    <v>58.155000000000001</v>
    <v>ETF</v>
    <v>46280.762498298434</v>
    <v>19</v>
    <v>57.884999999999998</v>
    <v>22113798185.400002</v>
    <v>DFA International Value</v>
    <v>58.01</v>
    <v>58.31</v>
    <v>58.145000000000003</v>
    <v>DFIV</v>
    <v>DFA International Value (ARCX:DFIV)</v>
    <v>1183926</v>
    <v>1098613</v>
  </rv>
  <rv s="2">
    <v>20</v>
  </rv>
  <rv s="0">
    <v>https://www.bing.com/financeapi/forcetrigger?t=a1vew7&amp;q=ARCX%3aIHDG&amp;form=skydnc</v>
    <v>Learn more on Bing</v>
  </rv>
  <rv s="1">
    <v>0</v>
    <v>WisdomTree:Intl Hdg QDG (ARCX:IHDG)</v>
    <v>2</v>
    <v>3</v>
    <v>Finance</v>
    <v>4</v>
    <v>en-US</v>
    <v>a1vew7</v>
    <v>268435456</v>
    <v>1</v>
    <v>Powered by Refinitiv</v>
    <v>54.139800000000001</v>
    <v>45.5</v>
    <v>0.57330000000000003</v>
    <v>-0.155</v>
    <v>-2.9740000000000001E-3</v>
    <v>USD</v>
    <v>NYSE Arca</v>
    <v>ARCX</v>
    <v>5.8999999999999999E-3</v>
    <v>51.99</v>
    <v>ETF</v>
    <v>46280.76231630781</v>
    <v>22</v>
    <v>51.77</v>
    <v>2182149086.6900001</v>
    <v>WisdomTree:Intl Hdg QDG</v>
    <v>51.88</v>
    <v>52.12</v>
    <v>51.965000000000003</v>
    <v>IHDG</v>
    <v>WisdomTree:Intl Hdg QDG (ARCX:IHDG)</v>
    <v>65727</v>
    <v>119185</v>
  </rv>
  <rv s="2">
    <v>23</v>
  </rv>
  <rv s="0">
    <v>https://www.bing.com/financeapi/forcetrigger?t=a25gmw&amp;q=ARCX%3aVNQ&amp;form=skydnc</v>
    <v>Learn more on Bing</v>
  </rv>
  <rv s="1">
    <v>0</v>
    <v>Vanguard RE;ETF (ARCX:VNQ)</v>
    <v>2</v>
    <v>3</v>
    <v>Finance</v>
    <v>4</v>
    <v>en-US</v>
    <v>a25gmw</v>
    <v>268435456</v>
    <v>1</v>
    <v>Powered by Refinitiv</v>
    <v>101.8</v>
    <v>86.84</v>
    <v>0.99909999999999999</v>
    <v>-0.32500000000000001</v>
    <v>-3.4449999999999997E-3</v>
    <v>USD</v>
    <v>NYSE Arca</v>
    <v>ARCX</v>
    <v>1.2999999999999999E-3</v>
    <v>94.31</v>
    <v>ETF</v>
    <v>46280.763055300784</v>
    <v>25</v>
    <v>93.43</v>
    <v>38085772930</v>
    <v>Vanguard RE;ETF</v>
    <v>94.24</v>
    <v>94.33</v>
    <v>94.004999999999995</v>
    <v>VNQ</v>
    <v>Vanguard RE;ETF (ARCX:VNQ)</v>
    <v>2471772</v>
    <v>2971900</v>
  </rv>
  <rv s="2">
    <v>26</v>
  </rv>
  <rv s="4">
    <v>7</v>
    <v>State Street SPDR PN100 (XNAS:QNDX)</v>
    <v>6</v>
    <v>8</v>
    <v>Finance</v>
    <v>4</v>
    <v>en-US</v>
    <v>d9anzr</v>
    <v>268435456</v>
    <v>1</v>
    <v>Powered by Refinitiv</v>
    <v>24.98</v>
    <v>22.4</v>
    <v>-0.13</v>
    <v>-5.4139999999999995E-3</v>
    <v>USD</v>
    <v>Nasdaq Stock Market</v>
    <v>XNAS</v>
    <v>1E-3</v>
    <v>24.03</v>
    <v>ETF</v>
    <v>46280.762452685158</v>
    <v>23.85</v>
    <v>347163229.24000001</v>
    <v>State Street SPDR PN100</v>
    <v>24.03</v>
    <v>24.01</v>
    <v>23.88</v>
    <v>QNDX</v>
    <v>State Street SPDR PN100 (XNAS:QNDX)</v>
    <v>159329</v>
    <v>549492</v>
  </rv>
  <rv s="2">
    <v>28</v>
  </rv>
  <rv s="0">
    <v>https://www.bing.com/financeapi/forcetrigger?t=a1xkc7&amp;q=ARCX%3aMGK&amp;form=skydnc</v>
    <v>Learn more on Bing</v>
  </rv>
  <rv s="1">
    <v>0</v>
    <v>Vanguard:Morn MC Gr;ETF (ARCX:MGK)</v>
    <v>2</v>
    <v>3</v>
    <v>Finance</v>
    <v>4</v>
    <v>en-US</v>
    <v>a1xkc7</v>
    <v>268435456</v>
    <v>1</v>
    <v>Powered by Refinitiv</v>
    <v>92.38</v>
    <v>63.74</v>
    <v>1.0415000000000001</v>
    <v>-0.56499999999999995</v>
    <v>-6.3049999999999998E-3</v>
    <v>USD</v>
    <v>NYSE Arca</v>
    <v>ARCX</v>
    <v>5.0000000000000001E-4</v>
    <v>89.6</v>
    <v>ETF</v>
    <v>46280.763003275002</v>
    <v>30</v>
    <v>88.894999999999996</v>
    <v>33515135390</v>
    <v>Vanguard:Morn MC Gr;ETF</v>
    <v>89.53</v>
    <v>89.61</v>
    <v>89.045000000000002</v>
    <v>MGK</v>
    <v>Vanguard:Morn MC Gr;ETF (ARCX:MGK)</v>
    <v>628488</v>
    <v>1062399</v>
  </rv>
  <rv s="2">
    <v>31</v>
  </rv>
  <rv s="0">
    <v>https://www.bing.com/financeapi/forcetrigger?t=c3janm&amp;q=ARCX%3aAVLV&amp;form=skydnc</v>
    <v>Learn more on Bing</v>
  </rv>
  <rv s="1">
    <v>0</v>
    <v>Avantis US Lg Cap Value (ARCX:AVLV)</v>
    <v>2</v>
    <v>3</v>
    <v>Finance</v>
    <v>4</v>
    <v>en-US</v>
    <v>c3janm</v>
    <v>268435456</v>
    <v>1</v>
    <v>Powered by Refinitiv</v>
    <v>95.314999999999998</v>
    <v>70.099999999999994</v>
    <v>0.7923</v>
    <v>-0.15</v>
    <v>-1.6070000000000001E-3</v>
    <v>USD</v>
    <v>NYSE Arca</v>
    <v>ARCX</v>
    <v>1.5E-3</v>
    <v>93.4</v>
    <v>ETF</v>
    <v>46280.763088321095</v>
    <v>33</v>
    <v>92.789299999999997</v>
    <v>21573304775.209999</v>
    <v>Avantis US Lg Cap Value</v>
    <v>93.38</v>
    <v>93.35</v>
    <v>93.2</v>
    <v>AVLV</v>
    <v>Avantis US Lg Cap Value (ARCX:AVLV)</v>
    <v>1713592</v>
    <v>2397575</v>
  </rv>
  <rv s="2">
    <v>34</v>
  </rv>
  <rv s="0">
    <v>https://www.bing.com/financeapi/forcetrigger?t=a1vxoc&amp;q=ARCX%3aIWP&amp;form=skydnc</v>
    <v>Learn more on Bing</v>
  </rv>
  <rv s="1">
    <v>0</v>
    <v>iShares:Russ MC Gr (ARCX:IWP)</v>
    <v>2</v>
    <v>3</v>
    <v>Finance</v>
    <v>4</v>
    <v>en-US</v>
    <v>a1vxoc</v>
    <v>268435456</v>
    <v>1</v>
    <v>Powered by Refinitiv</v>
    <v>148.29</v>
    <v>122.94</v>
    <v>0.99980000000000002</v>
    <v>-1.1399999999999999</v>
    <v>-8.3320000000000009E-3</v>
    <v>USD</v>
    <v>NYSE Arca</v>
    <v>ARCX</v>
    <v>2.3E-3</v>
    <v>136.69649999999999</v>
    <v>ETF</v>
    <v>46280.762926376563</v>
    <v>36</v>
    <v>134.86000000000001</v>
    <v>19757549017.299999</v>
    <v>iShares:Russ MC Gr</v>
    <v>136.41999999999999</v>
    <v>136.815</v>
    <v>135.67500000000001</v>
    <v>IWP</v>
    <v>iShares:Russ MC Gr (ARCX:IWP)</v>
    <v>584624</v>
    <v>761233</v>
  </rv>
  <rv s="2">
    <v>37</v>
  </rv>
  <rv s="4">
    <v>7</v>
    <v>Avantis US Mid Cap Val (ARCX:AVMV)</v>
    <v>6</v>
    <v>8</v>
    <v>Finance</v>
    <v>4</v>
    <v>en-US</v>
    <v>cbf51h</v>
    <v>268435456</v>
    <v>1</v>
    <v>Powered by Refinitiv</v>
    <v>84.26</v>
    <v>66.13</v>
    <v>-0.26640000000000003</v>
    <v>-3.3310000000000002E-3</v>
    <v>USD</v>
    <v>NYSE Arca</v>
    <v>ARCX</v>
    <v>2E-3</v>
    <v>79.739999999999995</v>
    <v>ETF</v>
    <v>46280.761014258591</v>
    <v>79.33</v>
    <v>780843986.27999997</v>
    <v>Avantis US Mid Cap Val</v>
    <v>79.739999999999995</v>
    <v>79.97</v>
    <v>79.703599999999994</v>
    <v>AVMV</v>
    <v>Avantis US Mid Cap Val (ARCX:AVMV)</v>
    <v>36961</v>
    <v>52921</v>
  </rv>
  <rv s="2">
    <v>39</v>
  </rv>
  <rv s="0">
    <v>https://www.bing.com/financeapi/forcetrigger?t=a1vgrw&amp;q=XNAS%3aIJT&amp;form=skydnc</v>
    <v>Learn more on Bing</v>
  </rv>
  <rv s="1">
    <v>0</v>
    <v>iShares:S&amp;P SC 600 Gro (XNAS:IJT)</v>
    <v>2</v>
    <v>3</v>
    <v>Finance</v>
    <v>4</v>
    <v>en-US</v>
    <v>a1vgrw</v>
    <v>268435456</v>
    <v>1</v>
    <v>Powered by Refinitiv</v>
    <v>179.68</v>
    <v>132.97999999999999</v>
    <v>1</v>
    <v>-1.085</v>
    <v>-6.5929999999999999E-3</v>
    <v>USD</v>
    <v>Nasdaq Stock Market</v>
    <v>XNAS</v>
    <v>1.8E-3</v>
    <v>164.29</v>
    <v>ETF</v>
    <v>46280.762953043748</v>
    <v>41</v>
    <v>162.83000000000001</v>
    <v>8208603149.4499998</v>
    <v>iShares:S&amp;P SC 600 Gro</v>
    <v>164.16</v>
    <v>164.57</v>
    <v>163.48500000000001</v>
    <v>IJT</v>
    <v>iShares:S&amp;P SC 600 Gro (XNAS:IJT)</v>
    <v>168056</v>
    <v>207009</v>
  </rv>
  <rv s="2">
    <v>42</v>
  </rv>
  <rv s="0">
    <v>https://www.bing.com/financeapi/forcetrigger?t=brmo9c&amp;q=ARCX%3aAVUV&amp;form=skydnc</v>
    <v>Learn more on Bing</v>
  </rv>
  <rv s="1">
    <v>0</v>
    <v>Avantis US Sm Cap Val (ARCX:AVUV)</v>
    <v>2</v>
    <v>3</v>
    <v>Finance</v>
    <v>4</v>
    <v>en-US</v>
    <v>brmo9c</v>
    <v>268435456</v>
    <v>1</v>
    <v>Powered by Refinitiv</v>
    <v>129.05000000000001</v>
    <v>93.87</v>
    <v>0.93679999999999997</v>
    <v>0.06</v>
    <v>4.838E-4</v>
    <v>USD</v>
    <v>NYSE Arca</v>
    <v>ARCX</v>
    <v>2.5000000000000001E-3</v>
    <v>124.19</v>
    <v>ETF</v>
    <v>46280.763068946093</v>
    <v>44</v>
    <v>123.46</v>
    <v>31173472165.540001</v>
    <v>Avantis US Sm Cap Val</v>
    <v>123.88</v>
    <v>124.02</v>
    <v>124.08</v>
    <v>AVUV</v>
    <v>Avantis US Sm Cap Val (ARCX:AVUV)</v>
    <v>695323</v>
    <v>1209558</v>
  </rv>
  <rv s="2">
    <v>45</v>
  </rv>
</rvData>
</file>

<file path=xl/richData/rdrichvaluestructure.xml><?xml version="1.0" encoding="utf-8"?>
<rvStructures xmlns="http://schemas.microsoft.com/office/spreadsheetml/2017/richdata" count="5">
  <s t="_hyperlink">
    <k n="Address" t="s"/>
    <k n="Text" t="s"/>
  </s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Beta"/>
    <k n="Change"/>
    <k n="Change (%)"/>
    <k n="Currency" t="s"/>
    <k n="Exchange" t="s"/>
    <k n="Exchange abbreviation" t="s"/>
    <k n="Expense ratio"/>
    <k n="High"/>
    <k n="Instrument type" t="s"/>
    <k n="Last trade time"/>
    <k n="LearnMoreOnLink" t="r"/>
    <k n="Low"/>
    <k n="Market cap"/>
    <k n="Name" t="s"/>
    <k n="Open"/>
    <k n="Previous close"/>
    <k n="Price"/>
    <k n="Ticker symbol" t="s"/>
    <k n="UniqueName" t="s"/>
    <k n="Volume"/>
    <k n="Volume average"/>
  </s>
  <s t="_linkedentity">
    <k n="%cvi" t="r"/>
  </s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Beta"/>
    <k n="Change"/>
    <k n="Change (%)"/>
    <k n="Currency" t="s"/>
    <k n="Exchange" t="s"/>
    <k n="Exchange abbreviation" t="s"/>
    <k n="Expense ratio"/>
    <k n="High"/>
    <k n="Instrument type" t="s"/>
    <k n="Last trade time"/>
    <k n="Low"/>
    <k n="Market cap"/>
    <k n="Name" t="s"/>
    <k n="Open"/>
    <k n="Previous close"/>
    <k n="Price"/>
    <k n="Ticker symbol" t="s"/>
    <k n="UniqueName" t="s"/>
    <k n="Volume"/>
    <k n="Volume average"/>
  </s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Change"/>
    <k n="Change (%)"/>
    <k n="Currency" t="s"/>
    <k n="Exchange" t="s"/>
    <k n="Exchange abbreviation" t="s"/>
    <k n="Expense ratio"/>
    <k n="High"/>
    <k n="Instrument type" t="s"/>
    <k n="Last trade time"/>
    <k n="Low"/>
    <k n="Market cap"/>
    <k n="Name" t="s"/>
    <k n="Open"/>
    <k n="Previous close"/>
    <k n="Price"/>
    <k n="Ticker symbol" t="s"/>
    <k n="UniqueName" t="s"/>
    <k n="Volume"/>
    <k n="Volume average"/>
  </s>
</rvStructures>
</file>

<file path=xl/richData/rdsupportingpropertybag.xml><?xml version="1.0" encoding="utf-8"?>
<supportingPropertyBags xmlns="http://schemas.microsoft.com/office/spreadsheetml/2017/richdata2">
  <spbArrays count="3">
    <a count="34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Volume average</v>
      <v t="s">Market cap</v>
      <v t="s">Beta</v>
      <v t="s">Instrument type</v>
      <v t="s">_Flags</v>
      <v t="s">UniqueName</v>
      <v t="s">_DisplayString</v>
      <v t="s">LearnMoreOnLink</v>
      <v t="s">%ProviderInfo</v>
    </a>
    <a count="33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Volume average</v>
      <v t="s">Market cap</v>
      <v t="s">Beta</v>
      <v t="s">Instrument type</v>
      <v t="s">_Flags</v>
      <v t="s">UniqueName</v>
      <v t="s">_DisplayString</v>
      <v t="s">%ProviderInfo</v>
    </a>
    <a count="32">
      <v t="s">%EntityServiceId</v>
      <v t="s">_Format</v>
      <v t="s">%IsRefreshable</v>
      <v t="s">%EntityCulture</v>
      <v t="s">%EntityId</v>
      <v t="s">_Icon</v>
      <v t="s">_Display</v>
      <v t="s">Name</v>
      <v t="s">_SubLabel</v>
      <v t="s">Price</v>
      <v t="s">Exchange</v>
      <v t="s">Last trade time</v>
      <v t="s">Ticker symbol</v>
      <v t="s">Exchange abbreviation</v>
      <v t="s">Change</v>
      <v t="s">Expense ratio</v>
      <v t="s">Change (%)</v>
      <v t="s">Currency</v>
      <v t="s">Previous close</v>
      <v t="s">Open</v>
      <v t="s">High</v>
      <v t="s">Low</v>
      <v t="s">52 week high</v>
      <v t="s">52 week low</v>
      <v t="s">Volume</v>
      <v t="s">Volume average</v>
      <v t="s">Market cap</v>
      <v t="s">Instrument type</v>
      <v t="s">_Flags</v>
      <v t="s">UniqueName</v>
      <v t="s">_DisplayString</v>
      <v t="s">%ProviderInfo</v>
    </a>
  </spbArrays>
  <spbData count="9">
    <spb s="0">
      <v>0</v>
      <v>Name</v>
      <v>LearnMoreOnLink</v>
    </spb>
    <spb s="1">
      <v>0</v>
      <v>0</v>
      <v>0</v>
    </spb>
    <spb s="2">
      <v>1</v>
      <v>1</v>
      <v>1</v>
    </spb>
    <spb s="3">
      <v>1</v>
      <v>2</v>
      <v>1</v>
      <v>3</v>
      <v>1</v>
      <v>1</v>
      <v>1</v>
      <v>4</v>
      <v>5</v>
      <v>6</v>
      <v>1</v>
      <v>1</v>
      <v>5</v>
      <v>1</v>
      <v>4</v>
      <v>7</v>
      <v>8</v>
    </spb>
    <spb s="4">
      <v>Real-Time Nasdaq Last Sale</v>
      <v>from previous close</v>
      <v>Source: Nasdaq Last Sale</v>
      <v>from previous close</v>
      <v>GMT</v>
    </spb>
    <spb s="5">
      <v>1</v>
      <v>Name</v>
    </spb>
    <spb s="6">
      <v>1</v>
      <v>1</v>
    </spb>
    <spb s="5">
      <v>2</v>
      <v>Name</v>
    </spb>
    <spb s="7">
      <v>1</v>
      <v>1</v>
      <v>3</v>
      <v>1</v>
      <v>1</v>
      <v>1</v>
      <v>4</v>
      <v>5</v>
      <v>6</v>
      <v>1</v>
      <v>1</v>
      <v>5</v>
      <v>1</v>
      <v>4</v>
      <v>7</v>
      <v>8</v>
    </spb>
  </spbData>
</supportingPropertyBags>
</file>

<file path=xl/richData/rdsupportingpropertybagstructure.xml><?xml version="1.0" encoding="utf-8"?>
<spbStructures xmlns="http://schemas.microsoft.com/office/spreadsheetml/2017/richdata2" count="8"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Low" t="i"/>
    <k n="Beta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Volume average" t="i"/>
    <k n="Last trade time" t="i"/>
    <k n="`%EntityServiceId" t="i"/>
  </s>
  <s>
    <k n="Price" t="s"/>
    <k n="Change" t="s"/>
    <k n="Exchange" t="s"/>
    <k n="Change (%)" t="s"/>
    <k n="Last trade time" t="s"/>
  </s>
  <s>
    <k n="^Order" t="spba"/>
    <k n="TitleProperty" t="s"/>
  </s>
  <s>
    <k n="UniqueName" t="spb"/>
    <k n="`%ProviderInfo" t="spb"/>
  </s>
  <s>
    <k n="Low" t="i"/>
    <k n="High" t="i"/>
    <k n="Name" t="i"/>
    <k n="Open" t="i"/>
    <k n="Price" t="i"/>
    <k n="Change" t="i"/>
    <k n="Volume" t="i"/>
    <k n="Change (%)" t="i"/>
    <k n="Market cap" t="i"/>
    <k n="52 week low" t="i"/>
    <k n="52 week high" t="i"/>
    <k n="Expense ratio" t="i"/>
    <k n="Previous close" t="i"/>
    <k n="Volume average" t="i"/>
    <k n="Last trade time" t="i"/>
    <k n="`%EntityServiceId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6">
    <x:dxf>
      <x:numFmt numFmtId="0" formatCode="General"/>
    </x:dxf>
    <x:dxf>
      <x:numFmt numFmtId="4" formatCode="#,##0.00"/>
    </x:dxf>
    <x:dxf>
      <x:numFmt numFmtId="3" formatCode="#,##0"/>
    </x:dxf>
    <x:dxf>
      <x:numFmt numFmtId="14" formatCode="0.00%"/>
    </x:dxf>
    <x:dxf>
      <x:numFmt numFmtId="164" formatCode="m/d/yyyy\ h:mm"/>
    </x:dxf>
    <x:dxf>
      <x:numFmt numFmtId="2" formatCode="0.00"/>
    </x:dxf>
  </dxfs>
  <richProperties>
    <rPr n="NumberFormat" t="s"/>
    <rPr n="IsTitleField" t="b"/>
  </richProperties>
  <richStyles>
    <rSty dxfid="0">
      <rpv i="0">_([$$-en-US]* #,##0.00_);_([$$-en-US]* (#,##0.00);_([$$-en-US]* "-"??_);_(@_)</rpv>
    </rSty>
    <rSty dxfid="1">
      <rpv i="0">#,##0.00</rpv>
    </rSty>
    <rSty>
      <rpv i="1">1</rpv>
    </rSty>
    <rSty dxfid="2">
      <rpv i="0">#,##0</rpv>
    </rSty>
    <rSty dxfid="3"/>
    <rSty dxfid="0">
      <rpv i="0">_([$$-en-US]* #,##0_);_([$$-en-US]* (#,##0);_([$$-en-US]* "-"_);_(@_)</rpv>
    </rSty>
    <rSty dxfid="4"/>
    <rSty dxfid="5">
      <rpv i="0">0.00</rpv>
    </rSty>
  </richStyles>
</richStyleShee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9CB3-23B7-E840-8DCF-ABB39BFCE7DA}">
  <dimension ref="A1:AJ24"/>
  <sheetViews>
    <sheetView tabSelected="1" workbookViewId="0">
      <selection activeCell="D24" sqref="D24"/>
    </sheetView>
  </sheetViews>
  <sheetFormatPr baseColWidth="10" defaultColWidth="8.83203125" defaultRowHeight="15" x14ac:dyDescent="0.2"/>
  <cols>
    <col min="1" max="1" width="27.33203125" bestFit="1" customWidth="1"/>
    <col min="2" max="2" width="38.83203125" bestFit="1" customWidth="1"/>
    <col min="5" max="5" width="14.6640625" bestFit="1" customWidth="1"/>
    <col min="10" max="10" width="8.83203125" style="5"/>
  </cols>
  <sheetData>
    <row r="1" spans="1:36" ht="22" thickBot="1" x14ac:dyDescent="0.3">
      <c r="A1" s="1" t="s">
        <v>0</v>
      </c>
      <c r="B1" s="2"/>
      <c r="D1" s="3"/>
      <c r="F1" s="4"/>
      <c r="G1" s="4"/>
      <c r="H1" s="4"/>
    </row>
    <row r="2" spans="1:36" ht="17" thickBot="1" x14ac:dyDescent="0.25">
      <c r="A2" s="6" t="s">
        <v>1</v>
      </c>
      <c r="B2" s="7" t="s">
        <v>2</v>
      </c>
      <c r="C2" s="8" t="s">
        <v>3</v>
      </c>
      <c r="D2" s="9"/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10" t="s">
        <v>23</v>
      </c>
      <c r="Y2" s="10" t="s">
        <v>24</v>
      </c>
      <c r="Z2" s="11" t="s">
        <v>25</v>
      </c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 x14ac:dyDescent="0.2">
      <c r="A3" s="13" t="s">
        <v>26</v>
      </c>
      <c r="B3" s="14" t="e" vm="1">
        <v>#VALUE!</v>
      </c>
      <c r="C3" s="15" t="s">
        <v>27</v>
      </c>
      <c r="D3" s="16">
        <v>58</v>
      </c>
      <c r="E3" s="17" cm="1">
        <f t="array" aca="1" ref="E3" ca="1">_FV(B3,"Expense ratio",TRUE)</f>
        <v>2.9999999999999997E-4</v>
      </c>
      <c r="F3" s="18">
        <v>0</v>
      </c>
      <c r="G3" s="18">
        <f>5*0.2</f>
        <v>1</v>
      </c>
      <c r="H3" s="18">
        <f>10*0.2</f>
        <v>2</v>
      </c>
      <c r="I3" s="18">
        <f>15*0.2</f>
        <v>3</v>
      </c>
      <c r="J3" s="19">
        <f>20*0.2</f>
        <v>4</v>
      </c>
      <c r="K3" s="18">
        <f>25*0.2</f>
        <v>5</v>
      </c>
      <c r="L3" s="18">
        <f>30*0.2</f>
        <v>6</v>
      </c>
      <c r="M3" s="18">
        <f>35*0.2</f>
        <v>7</v>
      </c>
      <c r="N3" s="18">
        <v>8</v>
      </c>
      <c r="O3" s="18">
        <f>45*0.2</f>
        <v>9</v>
      </c>
      <c r="P3" s="18">
        <f>50*0.2</f>
        <v>10</v>
      </c>
      <c r="Q3" s="18">
        <f>55*0.2</f>
        <v>11</v>
      </c>
      <c r="R3" s="18">
        <f>60*0.2</f>
        <v>12</v>
      </c>
      <c r="S3" s="18">
        <f>65*0.2</f>
        <v>13</v>
      </c>
      <c r="T3" s="18">
        <f>70*0.2</f>
        <v>14</v>
      </c>
      <c r="U3" s="18">
        <f>75*0.2</f>
        <v>15</v>
      </c>
      <c r="V3" s="18">
        <f>80*0.2</f>
        <v>16</v>
      </c>
      <c r="W3" s="18">
        <f>85*0.2</f>
        <v>17</v>
      </c>
      <c r="X3" s="18">
        <f>90*0.2</f>
        <v>18</v>
      </c>
      <c r="Y3" s="18">
        <f>95*0.2</f>
        <v>19</v>
      </c>
      <c r="Z3" s="20">
        <f>100*0.2</f>
        <v>20</v>
      </c>
    </row>
    <row r="4" spans="1:36" x14ac:dyDescent="0.2">
      <c r="A4" s="13" t="s">
        <v>28</v>
      </c>
      <c r="B4" s="14" t="e" vm="2">
        <v>#VALUE!</v>
      </c>
      <c r="C4" s="15" t="s">
        <v>29</v>
      </c>
      <c r="D4" s="16">
        <v>44</v>
      </c>
      <c r="E4" s="17" cm="1">
        <f t="array" aca="1" ref="E4" ca="1">_FV(B4,"Expense ratio",TRUE)</f>
        <v>3.5999999999999999E-3</v>
      </c>
      <c r="F4" s="18">
        <v>0</v>
      </c>
      <c r="G4" s="18">
        <f>5*0.25</f>
        <v>1.25</v>
      </c>
      <c r="H4" s="18">
        <f>10*0.25</f>
        <v>2.5</v>
      </c>
      <c r="I4" s="18">
        <f>15*0.25</f>
        <v>3.75</v>
      </c>
      <c r="J4" s="19">
        <f>20*0.25</f>
        <v>5</v>
      </c>
      <c r="K4" s="18">
        <f>25*0.25</f>
        <v>6.25</v>
      </c>
      <c r="L4" s="18">
        <f>30*0.25</f>
        <v>7.5</v>
      </c>
      <c r="M4" s="18">
        <f>35*0.25</f>
        <v>8.75</v>
      </c>
      <c r="N4" s="18">
        <v>10</v>
      </c>
      <c r="O4" s="18">
        <f>45*0.25</f>
        <v>11.25</v>
      </c>
      <c r="P4" s="18">
        <f>50*0.25</f>
        <v>12.5</v>
      </c>
      <c r="Q4" s="18">
        <f>55*0.25</f>
        <v>13.75</v>
      </c>
      <c r="R4" s="18">
        <f>60*0.25</f>
        <v>15</v>
      </c>
      <c r="S4" s="18">
        <f>65*0.25</f>
        <v>16.25</v>
      </c>
      <c r="T4" s="18">
        <f>70*0.25</f>
        <v>17.5</v>
      </c>
      <c r="U4" s="18">
        <f>75*0.25</f>
        <v>18.75</v>
      </c>
      <c r="V4" s="18">
        <f>80*0.25</f>
        <v>20</v>
      </c>
      <c r="W4" s="18">
        <f>85*0.25</f>
        <v>21.25</v>
      </c>
      <c r="X4" s="18">
        <f>90*0.25</f>
        <v>22.5</v>
      </c>
      <c r="Y4" s="18">
        <f>95*0.25</f>
        <v>23.75</v>
      </c>
      <c r="Z4" s="20">
        <f>100*0.25</f>
        <v>25</v>
      </c>
    </row>
    <row r="5" spans="1:36" x14ac:dyDescent="0.2">
      <c r="A5" s="13" t="s">
        <v>30</v>
      </c>
      <c r="B5" s="14" t="e" vm="3">
        <v>#VALUE!</v>
      </c>
      <c r="C5" s="15" t="s">
        <v>31</v>
      </c>
      <c r="D5" s="16">
        <v>26</v>
      </c>
      <c r="E5" s="17">
        <v>7.0000000000000001E-3</v>
      </c>
      <c r="F5" s="18">
        <v>0</v>
      </c>
      <c r="G5" s="18">
        <f>5*0.225</f>
        <v>1.125</v>
      </c>
      <c r="H5" s="18">
        <f>10*0.225</f>
        <v>2.25</v>
      </c>
      <c r="I5" s="18">
        <f>15*0.225</f>
        <v>3.375</v>
      </c>
      <c r="J5" s="19">
        <f>20*0.225</f>
        <v>4.5</v>
      </c>
      <c r="K5" s="18">
        <f>25*0.225</f>
        <v>5.625</v>
      </c>
      <c r="L5" s="18">
        <f>30*0.225</f>
        <v>6.75</v>
      </c>
      <c r="M5" s="18">
        <f>35*0.225</f>
        <v>7.875</v>
      </c>
      <c r="N5" s="18">
        <v>9</v>
      </c>
      <c r="O5" s="18">
        <f>45*0.225</f>
        <v>10.125</v>
      </c>
      <c r="P5" s="18">
        <f>50*0.225</f>
        <v>11.25</v>
      </c>
      <c r="Q5" s="18">
        <f>55*0.225</f>
        <v>12.375</v>
      </c>
      <c r="R5" s="18">
        <f>60*0.225</f>
        <v>13.5</v>
      </c>
      <c r="S5" s="18">
        <f>65*0.225</f>
        <v>14.625</v>
      </c>
      <c r="T5" s="18">
        <f>70*0.225</f>
        <v>15.75</v>
      </c>
      <c r="U5" s="18">
        <f>75*0.225</f>
        <v>16.875</v>
      </c>
      <c r="V5" s="18">
        <f>80*0.225</f>
        <v>18</v>
      </c>
      <c r="W5" s="18">
        <f>85*0.225</f>
        <v>19.125</v>
      </c>
      <c r="X5" s="18">
        <f>90*0.225</f>
        <v>20.25</v>
      </c>
      <c r="Y5" s="18">
        <f>95*0.225</f>
        <v>21.375</v>
      </c>
      <c r="Z5" s="20">
        <f>100*0.225</f>
        <v>22.5</v>
      </c>
    </row>
    <row r="6" spans="1:36" x14ac:dyDescent="0.2">
      <c r="A6" s="13" t="s">
        <v>30</v>
      </c>
      <c r="B6" s="14" t="e" vm="4">
        <v>#VALUE!</v>
      </c>
      <c r="C6" s="15" t="s">
        <v>32</v>
      </c>
      <c r="D6" s="16">
        <v>56</v>
      </c>
      <c r="E6" s="17">
        <v>4.0000000000000001E-3</v>
      </c>
      <c r="F6" s="18">
        <v>0</v>
      </c>
      <c r="G6" s="18">
        <f>5*0.225</f>
        <v>1.125</v>
      </c>
      <c r="H6" s="18">
        <f>10*0.225</f>
        <v>2.25</v>
      </c>
      <c r="I6" s="18">
        <f>15*0.225</f>
        <v>3.375</v>
      </c>
      <c r="J6" s="19">
        <f>20*0.225</f>
        <v>4.5</v>
      </c>
      <c r="K6" s="18">
        <f>25*0.225</f>
        <v>5.625</v>
      </c>
      <c r="L6" s="18">
        <f>30*0.225</f>
        <v>6.75</v>
      </c>
      <c r="M6" s="18">
        <f>35*0.225</f>
        <v>7.875</v>
      </c>
      <c r="N6" s="18">
        <v>9</v>
      </c>
      <c r="O6" s="18">
        <f>45*0.225</f>
        <v>10.125</v>
      </c>
      <c r="P6" s="18">
        <f>50*0.225</f>
        <v>11.25</v>
      </c>
      <c r="Q6" s="18">
        <f>55*0.225</f>
        <v>12.375</v>
      </c>
      <c r="R6" s="18">
        <f>60*0.225</f>
        <v>13.5</v>
      </c>
      <c r="S6" s="18">
        <f>65*0.225</f>
        <v>14.625</v>
      </c>
      <c r="T6" s="18">
        <f>70*0.225</f>
        <v>15.75</v>
      </c>
      <c r="U6" s="18">
        <f>75*0.225</f>
        <v>16.875</v>
      </c>
      <c r="V6" s="18">
        <f>80*0.225</f>
        <v>18</v>
      </c>
      <c r="W6" s="18">
        <f>85*0.225</f>
        <v>19.125</v>
      </c>
      <c r="X6" s="18">
        <f>90*0.225</f>
        <v>20.25</v>
      </c>
      <c r="Y6" s="18">
        <f>95*0.225</f>
        <v>21.375</v>
      </c>
      <c r="Z6" s="20">
        <f>100*0.225</f>
        <v>22.5</v>
      </c>
    </row>
    <row r="7" spans="1:36" x14ac:dyDescent="0.2">
      <c r="A7" s="21" t="s">
        <v>33</v>
      </c>
      <c r="B7" s="22" t="e" vm="5">
        <v>#VALUE!</v>
      </c>
      <c r="C7" s="23" t="s">
        <v>34</v>
      </c>
      <c r="D7" s="24">
        <v>17</v>
      </c>
      <c r="E7" s="17" cm="1">
        <f t="array" aca="1" ref="E7" ca="1">_FV(B7,"Expense ratio",TRUE)</f>
        <v>8.3000000000000001E-3</v>
      </c>
      <c r="F7" s="25">
        <v>0</v>
      </c>
      <c r="G7" s="25">
        <v>0.5</v>
      </c>
      <c r="H7" s="25">
        <v>1</v>
      </c>
      <c r="I7" s="26">
        <v>1.5</v>
      </c>
      <c r="J7" s="27">
        <v>2</v>
      </c>
      <c r="K7" s="25">
        <v>2.5</v>
      </c>
      <c r="L7" s="25">
        <f>30*0.1</f>
        <v>3</v>
      </c>
      <c r="M7" s="25">
        <f>35*0.1</f>
        <v>3.5</v>
      </c>
      <c r="N7" s="25">
        <v>4</v>
      </c>
      <c r="O7" s="25">
        <v>4.5</v>
      </c>
      <c r="P7" s="25">
        <v>5</v>
      </c>
      <c r="Q7" s="25">
        <v>5.5</v>
      </c>
      <c r="R7" s="25">
        <v>6</v>
      </c>
      <c r="S7" s="25">
        <v>6.5</v>
      </c>
      <c r="T7" s="25">
        <v>7</v>
      </c>
      <c r="U7" s="25">
        <v>7.5</v>
      </c>
      <c r="V7" s="25">
        <v>8</v>
      </c>
      <c r="W7" s="25">
        <v>8.5</v>
      </c>
      <c r="X7" s="25">
        <v>9</v>
      </c>
      <c r="Y7" s="25">
        <v>9.5</v>
      </c>
      <c r="Z7" s="28">
        <v>10</v>
      </c>
    </row>
    <row r="8" spans="1:36" x14ac:dyDescent="0.2">
      <c r="A8" s="13" t="s">
        <v>35</v>
      </c>
      <c r="B8" s="14" t="e" vm="6">
        <v>#VALUE!</v>
      </c>
      <c r="C8" s="15" t="s">
        <v>36</v>
      </c>
      <c r="D8" s="16">
        <v>27</v>
      </c>
      <c r="E8" s="29" cm="1">
        <f t="array" aca="1" ref="E8" ca="1">_FV(B8,"Expense ratio",TRUE)</f>
        <v>3.3E-3</v>
      </c>
      <c r="F8" s="18">
        <v>8.5</v>
      </c>
      <c r="G8" s="18">
        <f>F8*0.95</f>
        <v>8.0749999999999993</v>
      </c>
      <c r="H8" s="18">
        <f>F8*0.9</f>
        <v>7.65</v>
      </c>
      <c r="I8" s="30">
        <f>F8*0.85</f>
        <v>7.2249999999999996</v>
      </c>
      <c r="J8" s="19">
        <f>F8*0.8</f>
        <v>6.8000000000000007</v>
      </c>
      <c r="K8" s="18">
        <f>F8*0.75</f>
        <v>6.375</v>
      </c>
      <c r="L8" s="18">
        <f>F8*0.7</f>
        <v>5.9499999999999993</v>
      </c>
      <c r="M8" s="18">
        <f>F8*0.65</f>
        <v>5.5250000000000004</v>
      </c>
      <c r="N8" s="18">
        <f>F8*0.6</f>
        <v>5.0999999999999996</v>
      </c>
      <c r="O8" s="18">
        <f>F8*0.55</f>
        <v>4.6750000000000007</v>
      </c>
      <c r="P8" s="18">
        <f>F8*0.5</f>
        <v>4.25</v>
      </c>
      <c r="Q8" s="18">
        <f>F8*0.45</f>
        <v>3.8250000000000002</v>
      </c>
      <c r="R8" s="18">
        <f>F8*0.4</f>
        <v>3.4000000000000004</v>
      </c>
      <c r="S8" s="18">
        <f>F8*0.35</f>
        <v>2.9749999999999996</v>
      </c>
      <c r="T8" s="18">
        <f>F8*0.3</f>
        <v>2.5499999999999998</v>
      </c>
      <c r="U8" s="18">
        <f>F8*0.25</f>
        <v>2.125</v>
      </c>
      <c r="V8" s="18">
        <f>F8*0.2</f>
        <v>1.7000000000000002</v>
      </c>
      <c r="W8" s="18">
        <f>F8*0.15</f>
        <v>1.2749999999999999</v>
      </c>
      <c r="X8" s="18">
        <f>F8*0.1</f>
        <v>0.85000000000000009</v>
      </c>
      <c r="Y8" s="18">
        <f>F8*0.05</f>
        <v>0.42500000000000004</v>
      </c>
      <c r="Z8" s="20"/>
    </row>
    <row r="9" spans="1:36" x14ac:dyDescent="0.2">
      <c r="A9" s="13" t="s">
        <v>37</v>
      </c>
      <c r="B9" s="14" t="e" vm="7">
        <v>#VALUE!</v>
      </c>
      <c r="C9" s="15" t="s">
        <v>38</v>
      </c>
      <c r="D9" s="16">
        <v>75</v>
      </c>
      <c r="E9" s="17" cm="1">
        <f t="array" aca="1" ref="E9" ca="1">_FV(B9,"Expense ratio",TRUE)</f>
        <v>3.5999999999999999E-3</v>
      </c>
      <c r="F9" s="18">
        <v>3.4</v>
      </c>
      <c r="G9" s="18">
        <f t="shared" ref="G9" si="0">F9*0.95</f>
        <v>3.23</v>
      </c>
      <c r="H9" s="18">
        <f t="shared" ref="H9:H19" si="1">F9*0.9</f>
        <v>3.06</v>
      </c>
      <c r="I9" s="30">
        <f t="shared" ref="I9:I19" si="2">F9*0.85</f>
        <v>2.8899999999999997</v>
      </c>
      <c r="J9" s="19">
        <f t="shared" ref="J9:J19" si="3">F9*0.8</f>
        <v>2.72</v>
      </c>
      <c r="K9" s="18">
        <f t="shared" ref="K9:K19" si="4">F9*0.75</f>
        <v>2.5499999999999998</v>
      </c>
      <c r="L9" s="18">
        <f t="shared" ref="L9:L19" si="5">F9*0.7</f>
        <v>2.38</v>
      </c>
      <c r="M9" s="18">
        <f t="shared" ref="M9:M19" si="6">F9*0.65</f>
        <v>2.21</v>
      </c>
      <c r="N9" s="18">
        <f t="shared" ref="N9:N19" si="7">F9*0.6</f>
        <v>2.04</v>
      </c>
      <c r="O9" s="18">
        <f t="shared" ref="O9:O14" si="8">F9*0.55</f>
        <v>1.87</v>
      </c>
      <c r="P9" s="18">
        <f t="shared" ref="P9:P19" si="9">F9*0.5</f>
        <v>1.7</v>
      </c>
      <c r="Q9" s="18">
        <f t="shared" ref="Q9:Q19" si="10">F9*0.45</f>
        <v>1.53</v>
      </c>
      <c r="R9" s="18">
        <f t="shared" ref="R9:R19" si="11">F9*0.4</f>
        <v>1.36</v>
      </c>
      <c r="S9" s="18">
        <f t="shared" ref="S9:S19" si="12">F9*0.35</f>
        <v>1.19</v>
      </c>
      <c r="T9" s="18">
        <f t="shared" ref="T9:T19" si="13">F9*0.3</f>
        <v>1.02</v>
      </c>
      <c r="U9" s="18">
        <f t="shared" ref="U9:U19" si="14">F9*0.25</f>
        <v>0.85</v>
      </c>
      <c r="V9" s="18">
        <f t="shared" ref="V9:V19" si="15">F9*0.2</f>
        <v>0.68</v>
      </c>
      <c r="W9" s="18">
        <f t="shared" ref="W9:W19" si="16">F9*0.15</f>
        <v>0.51</v>
      </c>
      <c r="X9" s="18">
        <f t="shared" ref="X9:X19" si="17">F9*0.1</f>
        <v>0.34</v>
      </c>
      <c r="Y9" s="18">
        <f t="shared" ref="Y9:Y19" si="18">F9*0.05</f>
        <v>0.17</v>
      </c>
      <c r="Z9" s="20"/>
    </row>
    <row r="10" spans="1:36" x14ac:dyDescent="0.2">
      <c r="A10" s="13" t="s">
        <v>39</v>
      </c>
      <c r="B10" s="14" t="e" vm="8">
        <v>#VALUE!</v>
      </c>
      <c r="C10" s="15" t="s">
        <v>40</v>
      </c>
      <c r="D10" s="16">
        <v>42</v>
      </c>
      <c r="E10" s="17" cm="1">
        <f t="array" aca="1" ref="E10" ca="1">_FV(B10,"Expense ratio",TRUE)</f>
        <v>2.7000000000000001E-3</v>
      </c>
      <c r="F10" s="18">
        <v>9</v>
      </c>
      <c r="G10" s="18">
        <f>F10*0.95</f>
        <v>8.5499999999999989</v>
      </c>
      <c r="H10" s="18">
        <f t="shared" si="1"/>
        <v>8.1</v>
      </c>
      <c r="I10" s="30">
        <f t="shared" si="2"/>
        <v>7.6499999999999995</v>
      </c>
      <c r="J10" s="19">
        <f t="shared" si="3"/>
        <v>7.2</v>
      </c>
      <c r="K10" s="18">
        <f t="shared" si="4"/>
        <v>6.75</v>
      </c>
      <c r="L10" s="18">
        <f t="shared" si="5"/>
        <v>6.3</v>
      </c>
      <c r="M10" s="18">
        <f t="shared" si="6"/>
        <v>5.8500000000000005</v>
      </c>
      <c r="N10" s="18">
        <f t="shared" si="7"/>
        <v>5.3999999999999995</v>
      </c>
      <c r="O10" s="18">
        <f t="shared" si="8"/>
        <v>4.95</v>
      </c>
      <c r="P10" s="18">
        <f t="shared" si="9"/>
        <v>4.5</v>
      </c>
      <c r="Q10" s="18">
        <f t="shared" si="10"/>
        <v>4.05</v>
      </c>
      <c r="R10" s="18">
        <f t="shared" si="11"/>
        <v>3.6</v>
      </c>
      <c r="S10" s="18">
        <f t="shared" si="12"/>
        <v>3.15</v>
      </c>
      <c r="T10" s="18">
        <f t="shared" si="13"/>
        <v>2.6999999999999997</v>
      </c>
      <c r="U10" s="18">
        <f t="shared" si="14"/>
        <v>2.25</v>
      </c>
      <c r="V10" s="18">
        <f t="shared" si="15"/>
        <v>1.8</v>
      </c>
      <c r="W10" s="18">
        <f t="shared" si="16"/>
        <v>1.3499999999999999</v>
      </c>
      <c r="X10" s="18">
        <f t="shared" si="17"/>
        <v>0.9</v>
      </c>
      <c r="Y10" s="18">
        <f t="shared" si="18"/>
        <v>0.45</v>
      </c>
      <c r="Z10" s="20"/>
    </row>
    <row r="11" spans="1:36" x14ac:dyDescent="0.2">
      <c r="A11" s="13" t="s">
        <v>41</v>
      </c>
      <c r="B11" s="14" t="e" vm="9">
        <v>#VALUE!</v>
      </c>
      <c r="C11" s="15" t="s">
        <v>42</v>
      </c>
      <c r="D11" s="16">
        <v>45</v>
      </c>
      <c r="E11" s="17" cm="1">
        <f t="array" aca="1" ref="E11" ca="1">_FV(B11,"Expense ratio",TRUE)</f>
        <v>5.8999999999999999E-3</v>
      </c>
      <c r="F11" s="18">
        <v>7.1</v>
      </c>
      <c r="G11" s="18">
        <f t="shared" ref="G11:G19" si="19">F11*0.95</f>
        <v>6.7449999999999992</v>
      </c>
      <c r="H11" s="18">
        <f t="shared" si="1"/>
        <v>6.39</v>
      </c>
      <c r="I11" s="30">
        <f t="shared" si="2"/>
        <v>6.0349999999999993</v>
      </c>
      <c r="J11" s="19">
        <f t="shared" si="3"/>
        <v>5.68</v>
      </c>
      <c r="K11" s="18">
        <f t="shared" si="4"/>
        <v>5.3249999999999993</v>
      </c>
      <c r="L11" s="18">
        <f t="shared" si="5"/>
        <v>4.97</v>
      </c>
      <c r="M11" s="18">
        <f t="shared" si="6"/>
        <v>4.6150000000000002</v>
      </c>
      <c r="N11" s="18">
        <f t="shared" si="7"/>
        <v>4.26</v>
      </c>
      <c r="O11" s="18">
        <f t="shared" si="8"/>
        <v>3.9050000000000002</v>
      </c>
      <c r="P11" s="18">
        <f t="shared" si="9"/>
        <v>3.55</v>
      </c>
      <c r="Q11" s="18">
        <f t="shared" si="10"/>
        <v>3.1949999999999998</v>
      </c>
      <c r="R11" s="18">
        <f t="shared" si="11"/>
        <v>2.84</v>
      </c>
      <c r="S11" s="18">
        <f t="shared" si="12"/>
        <v>2.4849999999999999</v>
      </c>
      <c r="T11" s="18">
        <f t="shared" si="13"/>
        <v>2.13</v>
      </c>
      <c r="U11" s="18">
        <f t="shared" si="14"/>
        <v>1.7749999999999999</v>
      </c>
      <c r="V11" s="18">
        <f t="shared" si="15"/>
        <v>1.42</v>
      </c>
      <c r="W11" s="18">
        <f t="shared" si="16"/>
        <v>1.0649999999999999</v>
      </c>
      <c r="X11" s="18">
        <f t="shared" si="17"/>
        <v>0.71</v>
      </c>
      <c r="Y11" s="18">
        <f t="shared" si="18"/>
        <v>0.35499999999999998</v>
      </c>
      <c r="Z11" s="20"/>
    </row>
    <row r="12" spans="1:36" x14ac:dyDescent="0.2">
      <c r="A12" s="31" t="s">
        <v>43</v>
      </c>
      <c r="B12" s="32" t="e" vm="10">
        <v>#VALUE!</v>
      </c>
      <c r="C12" s="33" t="s">
        <v>44</v>
      </c>
      <c r="D12" s="34">
        <v>87</v>
      </c>
      <c r="E12" s="29" cm="1">
        <f t="array" aca="1" ref="E12" ca="1">_FV(B12,"Expense ratio",TRUE)</f>
        <v>1.2999999999999999E-3</v>
      </c>
      <c r="F12" s="35">
        <v>6.1</v>
      </c>
      <c r="G12" s="35">
        <f t="shared" si="19"/>
        <v>5.794999999999999</v>
      </c>
      <c r="H12" s="35">
        <f t="shared" si="1"/>
        <v>5.49</v>
      </c>
      <c r="I12" s="36">
        <f t="shared" si="2"/>
        <v>5.1849999999999996</v>
      </c>
      <c r="J12" s="37">
        <f t="shared" si="3"/>
        <v>4.88</v>
      </c>
      <c r="K12" s="35">
        <f t="shared" si="4"/>
        <v>4.5749999999999993</v>
      </c>
      <c r="L12" s="35">
        <f t="shared" si="5"/>
        <v>4.2699999999999996</v>
      </c>
      <c r="M12" s="35">
        <f t="shared" si="6"/>
        <v>3.9649999999999999</v>
      </c>
      <c r="N12" s="35">
        <f t="shared" si="7"/>
        <v>3.6599999999999997</v>
      </c>
      <c r="O12" s="35">
        <f t="shared" si="8"/>
        <v>3.355</v>
      </c>
      <c r="P12" s="36">
        <f t="shared" si="9"/>
        <v>3.05</v>
      </c>
      <c r="Q12" s="35">
        <f t="shared" si="10"/>
        <v>2.7450000000000001</v>
      </c>
      <c r="R12" s="35">
        <f t="shared" si="11"/>
        <v>2.44</v>
      </c>
      <c r="S12" s="35">
        <f t="shared" si="12"/>
        <v>2.1349999999999998</v>
      </c>
      <c r="T12" s="35">
        <f t="shared" si="13"/>
        <v>1.8299999999999998</v>
      </c>
      <c r="U12" s="35">
        <f t="shared" si="14"/>
        <v>1.5249999999999999</v>
      </c>
      <c r="V12" s="35">
        <f t="shared" si="15"/>
        <v>1.22</v>
      </c>
      <c r="W12" s="35">
        <f t="shared" si="16"/>
        <v>0.91499999999999992</v>
      </c>
      <c r="X12" s="35">
        <f t="shared" si="17"/>
        <v>0.61</v>
      </c>
      <c r="Y12" s="35">
        <f t="shared" si="18"/>
        <v>0.30499999999999999</v>
      </c>
      <c r="Z12" s="38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spans="1:36" x14ac:dyDescent="0.2">
      <c r="A13" s="40" t="s">
        <v>45</v>
      </c>
      <c r="B13" s="14" t="e" vm="11">
        <v>#VALUE!</v>
      </c>
      <c r="C13" s="15" t="s">
        <v>46</v>
      </c>
      <c r="D13" s="16">
        <v>24.38</v>
      </c>
      <c r="E13" s="17" cm="1">
        <f t="array" aca="1" ref="E13" ca="1">_FV(B13,"Expense ratio",TRUE)</f>
        <v>1E-3</v>
      </c>
      <c r="F13" s="18">
        <v>8.9</v>
      </c>
      <c r="G13" s="18">
        <f t="shared" si="19"/>
        <v>8.4550000000000001</v>
      </c>
      <c r="H13" s="18">
        <f t="shared" si="1"/>
        <v>8.01</v>
      </c>
      <c r="I13" s="30">
        <f t="shared" si="2"/>
        <v>7.5650000000000004</v>
      </c>
      <c r="J13" s="19">
        <f t="shared" si="3"/>
        <v>7.120000000000001</v>
      </c>
      <c r="K13" s="18">
        <f t="shared" si="4"/>
        <v>6.6750000000000007</v>
      </c>
      <c r="L13" s="18">
        <f t="shared" si="5"/>
        <v>6.2299999999999995</v>
      </c>
      <c r="M13" s="18">
        <f t="shared" si="6"/>
        <v>5.7850000000000001</v>
      </c>
      <c r="N13" s="18">
        <f t="shared" si="7"/>
        <v>5.34</v>
      </c>
      <c r="O13" s="18">
        <f t="shared" si="8"/>
        <v>4.8950000000000005</v>
      </c>
      <c r="P13" s="30">
        <f t="shared" si="9"/>
        <v>4.45</v>
      </c>
      <c r="Q13" s="18">
        <f t="shared" si="10"/>
        <v>4.0049999999999999</v>
      </c>
      <c r="R13" s="18">
        <f t="shared" si="11"/>
        <v>3.5600000000000005</v>
      </c>
      <c r="S13" s="18">
        <f t="shared" si="12"/>
        <v>3.1149999999999998</v>
      </c>
      <c r="T13" s="18">
        <f t="shared" si="13"/>
        <v>2.67</v>
      </c>
      <c r="U13" s="18">
        <f t="shared" si="14"/>
        <v>2.2250000000000001</v>
      </c>
      <c r="V13" s="18">
        <f t="shared" si="15"/>
        <v>1.7800000000000002</v>
      </c>
      <c r="W13" s="18">
        <f t="shared" si="16"/>
        <v>1.335</v>
      </c>
      <c r="X13" s="18">
        <f t="shared" si="17"/>
        <v>0.89000000000000012</v>
      </c>
      <c r="Y13" s="18">
        <f t="shared" si="18"/>
        <v>0.44500000000000006</v>
      </c>
      <c r="Z13" s="20"/>
    </row>
    <row r="14" spans="1:36" x14ac:dyDescent="0.2">
      <c r="A14" s="40" t="s">
        <v>45</v>
      </c>
      <c r="B14" s="14" t="e" vm="12">
        <v>#VALUE!</v>
      </c>
      <c r="C14" s="15" t="s">
        <v>47</v>
      </c>
      <c r="D14" s="16">
        <v>90.51</v>
      </c>
      <c r="E14" s="17" cm="1">
        <f t="array" aca="1" ref="E14" ca="1">_FV(B14,"Expense ratio",TRUE)</f>
        <v>5.0000000000000001E-4</v>
      </c>
      <c r="F14" s="18">
        <v>15.2</v>
      </c>
      <c r="G14" s="18">
        <f t="shared" si="19"/>
        <v>14.44</v>
      </c>
      <c r="H14" s="18">
        <f t="shared" si="1"/>
        <v>13.68</v>
      </c>
      <c r="I14" s="30">
        <f t="shared" si="2"/>
        <v>12.92</v>
      </c>
      <c r="J14" s="19">
        <f t="shared" si="3"/>
        <v>12.16</v>
      </c>
      <c r="K14" s="18">
        <f t="shared" si="4"/>
        <v>11.399999999999999</v>
      </c>
      <c r="L14" s="18">
        <f t="shared" si="5"/>
        <v>10.639999999999999</v>
      </c>
      <c r="M14" s="18">
        <f t="shared" si="6"/>
        <v>9.879999999999999</v>
      </c>
      <c r="N14" s="18">
        <f t="shared" si="7"/>
        <v>9.1199999999999992</v>
      </c>
      <c r="O14" s="18">
        <f t="shared" si="8"/>
        <v>8.36</v>
      </c>
      <c r="P14" s="30">
        <f t="shared" si="9"/>
        <v>7.6</v>
      </c>
      <c r="Q14" s="18">
        <f t="shared" si="10"/>
        <v>6.84</v>
      </c>
      <c r="R14" s="18">
        <f t="shared" si="11"/>
        <v>6.08</v>
      </c>
      <c r="S14" s="18">
        <f t="shared" si="12"/>
        <v>5.3199999999999994</v>
      </c>
      <c r="T14" s="18">
        <f t="shared" si="13"/>
        <v>4.5599999999999996</v>
      </c>
      <c r="U14" s="18">
        <f t="shared" si="14"/>
        <v>3.8</v>
      </c>
      <c r="V14" s="18">
        <f t="shared" si="15"/>
        <v>3.04</v>
      </c>
      <c r="W14" s="18">
        <f t="shared" si="16"/>
        <v>2.2799999999999998</v>
      </c>
      <c r="X14" s="18">
        <f t="shared" si="17"/>
        <v>1.52</v>
      </c>
      <c r="Y14" s="18">
        <f t="shared" si="18"/>
        <v>0.76</v>
      </c>
      <c r="Z14" s="20"/>
    </row>
    <row r="15" spans="1:36" x14ac:dyDescent="0.2">
      <c r="A15" s="40" t="s">
        <v>48</v>
      </c>
      <c r="B15" s="14" t="e" vm="13">
        <v>#VALUE!</v>
      </c>
      <c r="C15" s="15" t="s">
        <v>49</v>
      </c>
      <c r="D15" s="16">
        <v>65</v>
      </c>
      <c r="E15" s="17" cm="1">
        <f t="array" aca="1" ref="E15" ca="1">_FV(B15,"Expense ratio",TRUE)</f>
        <v>1.5E-3</v>
      </c>
      <c r="F15" s="18">
        <v>27</v>
      </c>
      <c r="G15" s="18">
        <f t="shared" si="19"/>
        <v>25.65</v>
      </c>
      <c r="H15" s="18">
        <f t="shared" si="1"/>
        <v>24.3</v>
      </c>
      <c r="I15" s="30">
        <f t="shared" si="2"/>
        <v>22.95</v>
      </c>
      <c r="J15" s="19">
        <f t="shared" si="3"/>
        <v>21.6</v>
      </c>
      <c r="K15" s="18">
        <f t="shared" si="4"/>
        <v>20.25</v>
      </c>
      <c r="L15" s="18">
        <f t="shared" si="5"/>
        <v>18.899999999999999</v>
      </c>
      <c r="M15" s="18">
        <f t="shared" si="6"/>
        <v>17.55</v>
      </c>
      <c r="N15" s="18">
        <f t="shared" si="7"/>
        <v>16.2</v>
      </c>
      <c r="O15" s="18">
        <f>F15*0.55</f>
        <v>14.850000000000001</v>
      </c>
      <c r="P15" s="30">
        <f t="shared" si="9"/>
        <v>13.5</v>
      </c>
      <c r="Q15" s="18">
        <f t="shared" si="10"/>
        <v>12.15</v>
      </c>
      <c r="R15" s="18">
        <f t="shared" si="11"/>
        <v>10.8</v>
      </c>
      <c r="S15" s="18">
        <f t="shared" si="12"/>
        <v>9.4499999999999993</v>
      </c>
      <c r="T15" s="18">
        <f t="shared" si="13"/>
        <v>8.1</v>
      </c>
      <c r="U15" s="18">
        <f t="shared" si="14"/>
        <v>6.75</v>
      </c>
      <c r="V15" s="18">
        <f t="shared" si="15"/>
        <v>5.4</v>
      </c>
      <c r="W15" s="18">
        <f t="shared" si="16"/>
        <v>4.05</v>
      </c>
      <c r="X15" s="18">
        <f t="shared" si="17"/>
        <v>2.7</v>
      </c>
      <c r="Y15" s="18">
        <f t="shared" si="18"/>
        <v>1.35</v>
      </c>
      <c r="Z15" s="20"/>
    </row>
    <row r="16" spans="1:36" x14ac:dyDescent="0.2">
      <c r="A16" s="40" t="s">
        <v>50</v>
      </c>
      <c r="B16" s="14" t="e" vm="14">
        <v>#VALUE!</v>
      </c>
      <c r="C16" s="15" t="s">
        <v>51</v>
      </c>
      <c r="D16" s="16">
        <v>131</v>
      </c>
      <c r="E16" s="17" cm="1">
        <f t="array" aca="1" ref="E16" ca="1">_FV(B16,"Expense ratio",TRUE)</f>
        <v>2.3E-3</v>
      </c>
      <c r="F16" s="18">
        <v>2.6</v>
      </c>
      <c r="G16" s="18">
        <f t="shared" si="19"/>
        <v>2.4699999999999998</v>
      </c>
      <c r="H16" s="18">
        <f t="shared" si="1"/>
        <v>2.3400000000000003</v>
      </c>
      <c r="I16" s="30">
        <f t="shared" si="2"/>
        <v>2.21</v>
      </c>
      <c r="J16" s="19">
        <f t="shared" si="3"/>
        <v>2.08</v>
      </c>
      <c r="K16" s="18">
        <f t="shared" si="4"/>
        <v>1.9500000000000002</v>
      </c>
      <c r="L16" s="18">
        <f t="shared" si="5"/>
        <v>1.8199999999999998</v>
      </c>
      <c r="M16" s="18">
        <f t="shared" si="6"/>
        <v>1.6900000000000002</v>
      </c>
      <c r="N16" s="18">
        <f t="shared" si="7"/>
        <v>1.56</v>
      </c>
      <c r="O16" s="18">
        <f t="shared" ref="O16:O19" si="20">F16*0.55</f>
        <v>1.4300000000000002</v>
      </c>
      <c r="P16" s="30">
        <f t="shared" si="9"/>
        <v>1.3</v>
      </c>
      <c r="Q16" s="18">
        <f t="shared" si="10"/>
        <v>1.1700000000000002</v>
      </c>
      <c r="R16" s="18">
        <f t="shared" si="11"/>
        <v>1.04</v>
      </c>
      <c r="S16" s="18">
        <f t="shared" si="12"/>
        <v>0.90999999999999992</v>
      </c>
      <c r="T16" s="18">
        <f t="shared" si="13"/>
        <v>0.78</v>
      </c>
      <c r="U16" s="18">
        <f t="shared" si="14"/>
        <v>0.65</v>
      </c>
      <c r="V16" s="18">
        <f t="shared" si="15"/>
        <v>0.52</v>
      </c>
      <c r="W16" s="18">
        <f t="shared" si="16"/>
        <v>0.39</v>
      </c>
      <c r="X16" s="18">
        <f t="shared" si="17"/>
        <v>0.26</v>
      </c>
      <c r="Y16" s="18">
        <f t="shared" si="18"/>
        <v>0.13</v>
      </c>
      <c r="Z16" s="20"/>
    </row>
    <row r="17" spans="1:26" x14ac:dyDescent="0.2">
      <c r="A17" s="40" t="s">
        <v>52</v>
      </c>
      <c r="B17" s="14" t="e" vm="15">
        <v>#VALUE!</v>
      </c>
      <c r="C17" s="15" t="s">
        <v>53</v>
      </c>
      <c r="D17" s="16">
        <v>159</v>
      </c>
      <c r="E17" s="17" cm="1">
        <f t="array" aca="1" ref="E17" ca="1">_FV(B17,"Expense ratio",TRUE)</f>
        <v>2E-3</v>
      </c>
      <c r="F17" s="18">
        <v>4.2</v>
      </c>
      <c r="G17" s="18">
        <f t="shared" si="19"/>
        <v>3.9899999999999998</v>
      </c>
      <c r="H17" s="18">
        <f t="shared" si="1"/>
        <v>3.7800000000000002</v>
      </c>
      <c r="I17" s="30">
        <f t="shared" si="2"/>
        <v>3.57</v>
      </c>
      <c r="J17" s="19">
        <f t="shared" si="3"/>
        <v>3.3600000000000003</v>
      </c>
      <c r="K17" s="18">
        <f t="shared" si="4"/>
        <v>3.1500000000000004</v>
      </c>
      <c r="L17" s="18">
        <f t="shared" si="5"/>
        <v>2.94</v>
      </c>
      <c r="M17" s="18">
        <f t="shared" si="6"/>
        <v>2.7300000000000004</v>
      </c>
      <c r="N17" s="18">
        <f t="shared" si="7"/>
        <v>2.52</v>
      </c>
      <c r="O17" s="18">
        <f t="shared" si="20"/>
        <v>2.3100000000000005</v>
      </c>
      <c r="P17" s="30">
        <f t="shared" si="9"/>
        <v>2.1</v>
      </c>
      <c r="Q17" s="18">
        <f t="shared" si="10"/>
        <v>1.8900000000000001</v>
      </c>
      <c r="R17" s="18">
        <f t="shared" si="11"/>
        <v>1.6800000000000002</v>
      </c>
      <c r="S17" s="18">
        <f t="shared" si="12"/>
        <v>1.47</v>
      </c>
      <c r="T17" s="18">
        <f t="shared" si="13"/>
        <v>1.26</v>
      </c>
      <c r="U17" s="18">
        <f t="shared" si="14"/>
        <v>1.05</v>
      </c>
      <c r="V17" s="18">
        <f t="shared" si="15"/>
        <v>0.84000000000000008</v>
      </c>
      <c r="W17" s="18">
        <f t="shared" si="16"/>
        <v>0.63</v>
      </c>
      <c r="X17" s="18">
        <f t="shared" si="17"/>
        <v>0.42000000000000004</v>
      </c>
      <c r="Y17" s="18">
        <f t="shared" si="18"/>
        <v>0.21000000000000002</v>
      </c>
      <c r="Z17" s="20"/>
    </row>
    <row r="18" spans="1:26" x14ac:dyDescent="0.2">
      <c r="A18" s="40" t="s">
        <v>54</v>
      </c>
      <c r="B18" s="14" t="e" vm="16">
        <v>#VALUE!</v>
      </c>
      <c r="C18" s="15" t="s">
        <v>55</v>
      </c>
      <c r="D18" s="16">
        <v>127</v>
      </c>
      <c r="E18" s="17" cm="1">
        <f t="array" aca="1" ref="E18" ca="1">_FV(B18,"Expense ratio",TRUE)</f>
        <v>1.8E-3</v>
      </c>
      <c r="F18" s="18">
        <v>3.9</v>
      </c>
      <c r="G18" s="18">
        <f t="shared" si="19"/>
        <v>3.7049999999999996</v>
      </c>
      <c r="H18" s="18">
        <f t="shared" si="1"/>
        <v>3.51</v>
      </c>
      <c r="I18" s="30">
        <f t="shared" si="2"/>
        <v>3.3149999999999999</v>
      </c>
      <c r="J18" s="19">
        <f t="shared" si="3"/>
        <v>3.12</v>
      </c>
      <c r="K18" s="18">
        <f t="shared" si="4"/>
        <v>2.9249999999999998</v>
      </c>
      <c r="L18" s="18">
        <f t="shared" si="5"/>
        <v>2.73</v>
      </c>
      <c r="M18" s="18">
        <f t="shared" si="6"/>
        <v>2.5350000000000001</v>
      </c>
      <c r="N18" s="18">
        <f t="shared" si="7"/>
        <v>2.34</v>
      </c>
      <c r="O18" s="18">
        <f t="shared" si="20"/>
        <v>2.145</v>
      </c>
      <c r="P18" s="30">
        <f t="shared" si="9"/>
        <v>1.95</v>
      </c>
      <c r="Q18" s="18">
        <f t="shared" si="10"/>
        <v>1.7549999999999999</v>
      </c>
      <c r="R18" s="18">
        <f t="shared" si="11"/>
        <v>1.56</v>
      </c>
      <c r="S18" s="18">
        <f t="shared" si="12"/>
        <v>1.365</v>
      </c>
      <c r="T18" s="18">
        <f t="shared" si="13"/>
        <v>1.17</v>
      </c>
      <c r="U18" s="18">
        <f t="shared" si="14"/>
        <v>0.97499999999999998</v>
      </c>
      <c r="V18" s="18">
        <f t="shared" si="15"/>
        <v>0.78</v>
      </c>
      <c r="W18" s="18">
        <f t="shared" si="16"/>
        <v>0.58499999999999996</v>
      </c>
      <c r="X18" s="18">
        <f t="shared" si="17"/>
        <v>0.39</v>
      </c>
      <c r="Y18" s="18">
        <f t="shared" si="18"/>
        <v>0.19500000000000001</v>
      </c>
      <c r="Z18" s="20"/>
    </row>
    <row r="19" spans="1:26" x14ac:dyDescent="0.2">
      <c r="A19" s="41" t="s">
        <v>56</v>
      </c>
      <c r="B19" s="22" t="e" vm="17">
        <v>#VALUE!</v>
      </c>
      <c r="C19" s="23" t="s">
        <v>57</v>
      </c>
      <c r="D19" s="42">
        <v>87</v>
      </c>
      <c r="E19" s="17" cm="1">
        <f t="array" aca="1" ref="E19" ca="1">_FV(B19,"Expense ratio",TRUE)</f>
        <v>2.5000000000000001E-3</v>
      </c>
      <c r="F19" s="18">
        <v>4.0999999999999996</v>
      </c>
      <c r="G19" s="18">
        <f t="shared" si="19"/>
        <v>3.8949999999999996</v>
      </c>
      <c r="H19" s="18">
        <f t="shared" si="1"/>
        <v>3.69</v>
      </c>
      <c r="I19" s="30">
        <f t="shared" si="2"/>
        <v>3.4849999999999994</v>
      </c>
      <c r="J19" s="19">
        <f t="shared" si="3"/>
        <v>3.28</v>
      </c>
      <c r="K19" s="18">
        <f t="shared" si="4"/>
        <v>3.0749999999999997</v>
      </c>
      <c r="L19" s="18">
        <f t="shared" si="5"/>
        <v>2.8699999999999997</v>
      </c>
      <c r="M19" s="18">
        <f t="shared" si="6"/>
        <v>2.665</v>
      </c>
      <c r="N19" s="18">
        <f t="shared" si="7"/>
        <v>2.4599999999999995</v>
      </c>
      <c r="O19" s="18">
        <f t="shared" si="20"/>
        <v>2.2549999999999999</v>
      </c>
      <c r="P19" s="30">
        <f t="shared" si="9"/>
        <v>2.0499999999999998</v>
      </c>
      <c r="Q19" s="18">
        <f t="shared" si="10"/>
        <v>1.845</v>
      </c>
      <c r="R19" s="18">
        <f t="shared" si="11"/>
        <v>1.64</v>
      </c>
      <c r="S19" s="18">
        <f t="shared" si="12"/>
        <v>1.4349999999999998</v>
      </c>
      <c r="T19" s="18">
        <f t="shared" si="13"/>
        <v>1.2299999999999998</v>
      </c>
      <c r="U19" s="18">
        <f t="shared" si="14"/>
        <v>1.0249999999999999</v>
      </c>
      <c r="V19" s="18">
        <f t="shared" si="15"/>
        <v>0.82</v>
      </c>
      <c r="W19" s="18">
        <f t="shared" si="16"/>
        <v>0.61499999999999988</v>
      </c>
      <c r="X19" s="18">
        <f t="shared" si="17"/>
        <v>0.41</v>
      </c>
      <c r="Y19" s="18">
        <f t="shared" si="18"/>
        <v>0.20499999999999999</v>
      </c>
      <c r="Z19" s="20"/>
    </row>
    <row r="20" spans="1:26" ht="16" thickBot="1" x14ac:dyDescent="0.25">
      <c r="A20" s="43"/>
      <c r="B20" s="44"/>
      <c r="C20" s="45" t="s">
        <v>58</v>
      </c>
      <c r="D20" s="46"/>
      <c r="E20" s="47">
        <f ca="1">AVERAGE(E3:E19)</f>
        <v>3.0352941176470596E-3</v>
      </c>
      <c r="F20" s="48">
        <f>SUM(F3:F19)</f>
        <v>100</v>
      </c>
      <c r="G20" s="48">
        <f t="shared" ref="G20:Z20" si="21">SUM(G3:G19)</f>
        <v>99.999999999999986</v>
      </c>
      <c r="H20" s="48">
        <f t="shared" si="21"/>
        <v>100</v>
      </c>
      <c r="I20" s="48">
        <f t="shared" si="21"/>
        <v>99.999999999999986</v>
      </c>
      <c r="J20" s="49">
        <f t="shared" si="21"/>
        <v>100</v>
      </c>
      <c r="K20" s="48">
        <f t="shared" si="21"/>
        <v>100.00000000000001</v>
      </c>
      <c r="L20" s="48">
        <f t="shared" si="21"/>
        <v>99.999999999999986</v>
      </c>
      <c r="M20" s="48">
        <f t="shared" si="21"/>
        <v>100</v>
      </c>
      <c r="N20" s="48">
        <f t="shared" si="21"/>
        <v>100</v>
      </c>
      <c r="O20" s="48">
        <f t="shared" si="21"/>
        <v>99.999999999999986</v>
      </c>
      <c r="P20" s="48">
        <f t="shared" si="21"/>
        <v>99.999999999999986</v>
      </c>
      <c r="Q20" s="48">
        <f t="shared" si="21"/>
        <v>100</v>
      </c>
      <c r="R20" s="48">
        <f t="shared" si="21"/>
        <v>100.00000000000001</v>
      </c>
      <c r="S20" s="48">
        <f t="shared" si="21"/>
        <v>99.999999999999986</v>
      </c>
      <c r="T20" s="48">
        <f t="shared" si="21"/>
        <v>100</v>
      </c>
      <c r="U20" s="48">
        <f t="shared" si="21"/>
        <v>100</v>
      </c>
      <c r="V20" s="48">
        <f t="shared" si="21"/>
        <v>100.00000000000001</v>
      </c>
      <c r="W20" s="48">
        <f t="shared" si="21"/>
        <v>99.999999999999986</v>
      </c>
      <c r="X20" s="48">
        <f t="shared" si="21"/>
        <v>100</v>
      </c>
      <c r="Y20" s="48">
        <f t="shared" si="21"/>
        <v>99.999999999999986</v>
      </c>
      <c r="Z20" s="50">
        <f t="shared" si="21"/>
        <v>100</v>
      </c>
    </row>
    <row r="21" spans="1:26" x14ac:dyDescent="0.2">
      <c r="D21" s="3"/>
    </row>
    <row r="22" spans="1:26" x14ac:dyDescent="0.2">
      <c r="D22" s="3"/>
      <c r="G22" s="18"/>
      <c r="H22" s="18"/>
      <c r="I22" s="18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x14ac:dyDescent="0.2">
      <c r="D23" s="3"/>
    </row>
    <row r="24" spans="1:26" x14ac:dyDescent="0.2">
      <c r="D24" s="3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8.01.26 Core Model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Jensen</dc:creator>
  <cp:lastModifiedBy>Michael Jensen</cp:lastModifiedBy>
  <dcterms:created xsi:type="dcterms:W3CDTF">2026-09-15T18:20:14Z</dcterms:created>
  <dcterms:modified xsi:type="dcterms:W3CDTF">2026-09-15T18:20:32Z</dcterms:modified>
</cp:coreProperties>
</file>